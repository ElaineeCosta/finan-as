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D2FCBE6F971F13/Desktop/"/>
    </mc:Choice>
  </mc:AlternateContent>
  <xr:revisionPtr revIDLastSave="0" documentId="14_{AF9B314A-9570-4C4F-A8DA-596034B5D767}" xr6:coauthVersionLast="47" xr6:coauthVersionMax="47" xr10:uidLastSave="{00000000-0000-0000-0000-000000000000}"/>
  <bookViews>
    <workbookView minimized="1" xWindow="7884" yWindow="348" windowWidth="10896" windowHeight="11364" tabRatio="795" xr2:uid="{EED3C3CD-FBA2-4D04-860E-E8A72E09E532}"/>
    <workbookView minimized="1" xWindow="8232" yWindow="696" windowWidth="10896" windowHeight="11364" xr2:uid="{BF2A8DD9-7E01-4417-9037-8C0565300427}"/>
    <workbookView xWindow="-108" yWindow="-108" windowWidth="23256" windowHeight="12456" tabRatio="0" xr2:uid="{4BEBCD58-E67F-4B8E-BDCF-9CE788BBA7B3}"/>
  </bookViews>
  <sheets>
    <sheet name="2" sheetId="2" r:id="rId1"/>
    <sheet name="Planilha3" sheetId="3" state="hidden" r:id="rId2"/>
  </sheets>
  <definedNames>
    <definedName name="ANOS">'2'!$D$15</definedName>
    <definedName name="APORTE">'2'!$D$14</definedName>
    <definedName name="CINCO_ANOS">'2'!$A$24</definedName>
    <definedName name="dez">'2'!$A$25</definedName>
    <definedName name="DEZ_ANOS">'2'!$A$24</definedName>
    <definedName name="DIVIDENDOS">'2'!$D$18</definedName>
    <definedName name="DOIS_ANOS">'2'!$A$23</definedName>
    <definedName name="PATRIMONIO">'2'!$D$17</definedName>
    <definedName name="RENDIMENTO_CARTEIRA">'2'!$D$9</definedName>
    <definedName name="RENDIMETO_MES">'2'!$D$16</definedName>
    <definedName name="SUJESTÃO_RENDIMENTO">'2'!$D$10</definedName>
    <definedName name="TRINTA_ANOS">'2'!$A$27</definedName>
    <definedName name="valor_a_Ser_investido_no_mes">'2'!$C$33</definedName>
    <definedName name="VINTE_ANOS">'2'!$A$26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2" l="1"/>
  <c r="D25" i="2" s="1"/>
  <c r="C27" i="2"/>
  <c r="D27" i="2" s="1"/>
  <c r="C26" i="2"/>
  <c r="D26" i="2" s="1"/>
  <c r="C24" i="2"/>
  <c r="D24" i="2" s="1"/>
  <c r="C23" i="2"/>
  <c r="D23" i="2" s="1"/>
  <c r="A16" i="3"/>
  <c r="A17" i="3"/>
  <c r="A18" i="3"/>
  <c r="A19" i="3"/>
  <c r="A20" i="3"/>
  <c r="A21" i="3"/>
  <c r="H4" i="3"/>
  <c r="A5" i="3"/>
  <c r="A6" i="3"/>
  <c r="A7" i="3"/>
  <c r="A8" i="3"/>
  <c r="A9" i="3"/>
  <c r="A10" i="3"/>
  <c r="A11" i="3"/>
  <c r="A12" i="3"/>
  <c r="A13" i="3"/>
  <c r="A14" i="3"/>
  <c r="A15" i="3"/>
  <c r="A4" i="3"/>
  <c r="C37" i="2" s="1"/>
  <c r="C33" i="2"/>
  <c r="D10" i="2"/>
  <c r="D17" i="2"/>
  <c r="D18" i="2" s="1"/>
  <c r="D37" i="2" l="1"/>
  <c r="C36" i="2"/>
  <c r="D36" i="2" s="1"/>
  <c r="C41" i="2"/>
  <c r="D41" i="2" s="1"/>
  <c r="C40" i="2"/>
  <c r="D40" i="2" s="1"/>
  <c r="C39" i="2"/>
  <c r="D39" i="2" s="1"/>
  <c r="C38" i="2"/>
  <c r="D38" i="2" s="1"/>
  <c r="D4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GESTÃOLOG</author>
  </authors>
  <commentList>
    <comment ref="B10" authorId="0" shapeId="0" xr:uid="{722005F0-CC9E-4A39-B814-76E534FB9F9D}">
      <text>
        <r>
          <rPr>
            <b/>
            <sz val="9"/>
            <color indexed="81"/>
            <rFont val="Segoe UI"/>
            <family val="2"/>
          </rPr>
          <t>GESTÃOLOG:</t>
        </r>
        <r>
          <rPr>
            <sz val="9"/>
            <color indexed="81"/>
            <rFont val="Segoe UI"/>
            <family val="2"/>
          </rPr>
          <t xml:space="preserve">
SUJESTÃO DE 30% DO SALARIO AO MÊS </t>
        </r>
      </text>
    </comment>
    <comment ref="D18" authorId="0" shapeId="0" xr:uid="{3DC418B7-C4AD-43DB-B9E1-4F3949266A1B}">
      <text>
        <r>
          <rPr>
            <b/>
            <sz val="9"/>
            <color indexed="81"/>
            <rFont val="Segoe UI"/>
            <family val="2"/>
          </rPr>
          <t>GESTÃOLOG:</t>
        </r>
        <r>
          <rPr>
            <sz val="9"/>
            <color indexed="81"/>
            <rFont val="Segoe UI"/>
            <family val="2"/>
          </rPr>
          <t xml:space="preserve">
cada mês rende 1% ao mês 
</t>
        </r>
      </text>
    </comment>
    <comment ref="D22" authorId="0" shapeId="0" xr:uid="{A4DA09F2-C967-4E2D-9773-686858096FA9}">
      <text>
        <r>
          <rPr>
            <b/>
            <sz val="9"/>
            <color indexed="81"/>
            <rFont val="Segoe UI"/>
            <family val="2"/>
          </rPr>
          <t>GESTÃOLOG:</t>
        </r>
        <r>
          <rPr>
            <sz val="9"/>
            <color indexed="81"/>
            <rFont val="Segoe UI"/>
            <family val="2"/>
          </rPr>
          <t xml:space="preserve">
JUROS COMPOSTOS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GESTÃOLOG</author>
  </authors>
  <commentList>
    <comment ref="G4" authorId="0" shapeId="0" xr:uid="{CA30A41C-58EE-4BA0-B0AC-F57FB3BBD211}">
      <text>
        <r>
          <rPr>
            <b/>
            <sz val="9"/>
            <color indexed="81"/>
            <rFont val="Segoe UI"/>
            <family val="2"/>
          </rPr>
          <t>GESTÃOLOG:</t>
        </r>
        <r>
          <rPr>
            <sz val="9"/>
            <color indexed="81"/>
            <rFont val="Segoe UI"/>
            <family val="2"/>
          </rPr>
          <t xml:space="preserve">
PROCURA PRIMEIRO VERTICAL E DEPOIS NO HORIZONTE 
</t>
        </r>
      </text>
    </comment>
  </commentList>
</comments>
</file>

<file path=xl/sharedStrings.xml><?xml version="1.0" encoding="utf-8"?>
<sst xmlns="http://schemas.openxmlformats.org/spreadsheetml/2006/main" count="71" uniqueCount="35">
  <si>
    <t xml:space="preserve">INVESTIMENTO MENSAL </t>
  </si>
  <si>
    <t>Quanto Tempo investir</t>
  </si>
  <si>
    <t xml:space="preserve">Por quantos anos </t>
  </si>
  <si>
    <t xml:space="preserve">taxa de rendimento Mensal </t>
  </si>
  <si>
    <t>%</t>
  </si>
  <si>
    <t xml:space="preserve">Patrimonio Acumulado </t>
  </si>
  <si>
    <t xml:space="preserve">Dividendos mensais </t>
  </si>
  <si>
    <t xml:space="preserve">Quanto em 5 anos </t>
  </si>
  <si>
    <t xml:space="preserve">Quanto em 20 Anos </t>
  </si>
  <si>
    <t xml:space="preserve">Quanto em 10 anos </t>
  </si>
  <si>
    <t xml:space="preserve">Quanto em 30 anos </t>
  </si>
  <si>
    <t xml:space="preserve">CENÁRIOS </t>
  </si>
  <si>
    <t>Quanto teria em 2 Anos ?</t>
  </si>
  <si>
    <t xml:space="preserve">DIVIDENDOS </t>
  </si>
  <si>
    <t xml:space="preserve">CONFIGURAÇÕES </t>
  </si>
  <si>
    <t xml:space="preserve">RENDIMENTO CARTEIRA </t>
  </si>
  <si>
    <t xml:space="preserve">SALÁRIO </t>
  </si>
  <si>
    <t xml:space="preserve">SUJESTÃO DE INVESTIMENTO </t>
  </si>
  <si>
    <t>PERFIL</t>
  </si>
  <si>
    <t>CONSERVADOR</t>
  </si>
  <si>
    <t>AGRESSIVO</t>
  </si>
  <si>
    <t xml:space="preserve">VALOR A SER INVESTIDO POR MÊS </t>
  </si>
  <si>
    <t>TIPO DE FIL</t>
  </si>
  <si>
    <t xml:space="preserve">PERCENTUAL SUJERIDO </t>
  </si>
  <si>
    <t>VALORES</t>
  </si>
  <si>
    <t>PAPEL</t>
  </si>
  <si>
    <t>TIJOLO</t>
  </si>
  <si>
    <t xml:space="preserve">HIBRIDO </t>
  </si>
  <si>
    <t>FOF's</t>
  </si>
  <si>
    <t xml:space="preserve">DESENVOLVIMENTO </t>
  </si>
  <si>
    <t>HOTELARIAS</t>
  </si>
  <si>
    <t>CHAVE COMPOSTA</t>
  </si>
  <si>
    <t>MODERADO</t>
  </si>
  <si>
    <t>CONSERVADOR-PAPEL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</si>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</sst>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0;[Red]\-&quot;R$&quot;\ #,##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0"/>
      <name val="Segoe UI Semibold"/>
      <family val="2"/>
    </font>
    <font>
      <sz val="24"/>
      <color theme="0"/>
      <name val="Segoe UI Semibold"/>
      <family val="2"/>
    </font>
    <font>
      <sz val="26"/>
      <color theme="0"/>
      <name val="Segoe UI Semibold"/>
      <family val="2"/>
    </font>
    <font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theme="0" tint="-0.14996795556505021"/>
      </left>
      <right style="thick">
        <color auto="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auto="1"/>
      </right>
      <top style="thick">
        <color theme="0" tint="-0.1499679555650502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theme="1" tint="0.34998626667073579"/>
      </left>
      <right/>
      <top/>
      <bottom/>
      <diagonal/>
    </border>
    <border>
      <left style="thin">
        <color theme="0" tint="-0.14996795556505021"/>
      </left>
      <right style="thick">
        <color theme="1" tint="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 style="thin">
        <color theme="0" tint="-0.14996795556505021"/>
      </right>
      <top/>
      <bottom style="thick">
        <color theme="1" tint="0.34998626667073579"/>
      </bottom>
      <diagonal/>
    </border>
    <border>
      <left style="thin">
        <color theme="0" tint="-0.14996795556505021"/>
      </left>
      <right style="thick">
        <color theme="1" tint="0.34998626667073579"/>
      </right>
      <top style="thin">
        <color theme="0" tint="-0.14996795556505021"/>
      </top>
      <bottom style="thick">
        <color theme="1" tint="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ck">
        <color theme="1" tint="0.34998626667073579"/>
      </right>
      <top/>
      <bottom style="thin">
        <color theme="0" tint="-0.14996795556505021"/>
      </bottom>
      <diagonal/>
    </border>
    <border>
      <left style="thick">
        <color auto="1"/>
      </left>
      <right/>
      <top style="thick">
        <color theme="0" tint="-0.14996795556505021"/>
      </top>
      <bottom/>
      <diagonal/>
    </border>
    <border>
      <left/>
      <right style="thick">
        <color theme="0" tint="-0.14996795556505021"/>
      </right>
      <top style="thick">
        <color theme="0" tint="-0.14996795556505021"/>
      </top>
      <bottom/>
      <diagonal/>
    </border>
    <border>
      <left/>
      <right style="thick">
        <color theme="0" tint="-0.1499679555650502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theme="0" tint="-0.14996795556505021"/>
      </right>
      <top/>
      <bottom style="thick">
        <color auto="1"/>
      </bottom>
      <diagonal/>
    </border>
    <border>
      <left/>
      <right/>
      <top/>
      <bottom style="thick">
        <color theme="1" tint="0.34998626667073579"/>
      </bottom>
      <diagonal/>
    </border>
    <border>
      <left style="thick">
        <color theme="0" tint="-0.14996795556505021"/>
      </left>
      <right style="thick">
        <color theme="1" tint="0.34998626667073579"/>
      </right>
      <top style="medium">
        <color indexed="64"/>
      </top>
      <bottom style="medium">
        <color theme="0" tint="-0.14996795556505021"/>
      </bottom>
      <diagonal/>
    </border>
    <border>
      <left style="thick">
        <color theme="0" tint="-0.14996795556505021"/>
      </left>
      <right style="thick">
        <color theme="1" tint="0.34998626667073579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ck">
        <color theme="0" tint="-0.14996795556505021"/>
      </left>
      <right style="thick">
        <color theme="1" tint="0.34998626667073579"/>
      </right>
      <top style="medium">
        <color theme="0" tint="-0.14996795556505021"/>
      </top>
      <bottom style="thick">
        <color theme="1" tint="0.34998626667073579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73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3" fillId="0" borderId="0" xfId="0" applyFont="1"/>
    <xf numFmtId="0" fontId="11" fillId="5" borderId="0" xfId="0" applyFont="1" applyFill="1" applyAlignment="1"/>
    <xf numFmtId="9" fontId="0" fillId="0" borderId="0" xfId="2" applyFont="1"/>
    <xf numFmtId="0" fontId="0" fillId="5" borderId="0" xfId="0" applyFill="1"/>
    <xf numFmtId="0" fontId="8" fillId="5" borderId="0" xfId="0" applyFont="1" applyFill="1" applyBorder="1" applyAlignment="1">
      <alignment vertical="center"/>
    </xf>
    <xf numFmtId="164" fontId="0" fillId="5" borderId="0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164" fontId="12" fillId="4" borderId="12" xfId="0" applyNumberFormat="1" applyFont="1" applyFill="1" applyBorder="1" applyAlignment="1">
      <alignment horizontal="left"/>
    </xf>
    <xf numFmtId="164" fontId="12" fillId="4" borderId="13" xfId="0" applyNumberFormat="1" applyFont="1" applyFill="1" applyBorder="1" applyAlignment="1">
      <alignment horizontal="left"/>
    </xf>
    <xf numFmtId="0" fontId="4" fillId="3" borderId="27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left" vertical="center"/>
    </xf>
    <xf numFmtId="44" fontId="14" fillId="0" borderId="28" xfId="1" applyFont="1" applyBorder="1" applyAlignment="1">
      <alignment horizontal="left"/>
    </xf>
    <xf numFmtId="10" fontId="14" fillId="0" borderId="21" xfId="2" applyNumberFormat="1" applyFont="1" applyBorder="1" applyAlignment="1">
      <alignment horizontal="left"/>
    </xf>
    <xf numFmtId="44" fontId="14" fillId="4" borderId="24" xfId="0" applyNumberFormat="1" applyFont="1" applyFill="1" applyBorder="1" applyAlignment="1">
      <alignment horizontal="left"/>
    </xf>
    <xf numFmtId="0" fontId="14" fillId="4" borderId="29" xfId="0" applyFont="1" applyFill="1" applyBorder="1" applyAlignment="1">
      <alignment horizontal="left" indent="2"/>
    </xf>
    <xf numFmtId="8" fontId="12" fillId="4" borderId="30" xfId="0" applyNumberFormat="1" applyFont="1" applyFill="1" applyBorder="1" applyAlignment="1">
      <alignment horizontal="left"/>
    </xf>
    <xf numFmtId="0" fontId="14" fillId="4" borderId="15" xfId="0" applyFont="1" applyFill="1" applyBorder="1" applyAlignment="1">
      <alignment horizontal="left" indent="2"/>
    </xf>
    <xf numFmtId="8" fontId="12" fillId="4" borderId="31" xfId="0" applyNumberFormat="1" applyFont="1" applyFill="1" applyBorder="1" applyAlignment="1">
      <alignment horizontal="left"/>
    </xf>
    <xf numFmtId="0" fontId="14" fillId="4" borderId="32" xfId="0" applyFont="1" applyFill="1" applyBorder="1" applyAlignment="1">
      <alignment horizontal="left" indent="2"/>
    </xf>
    <xf numFmtId="8" fontId="12" fillId="4" borderId="33" xfId="0" applyNumberFormat="1" applyFont="1" applyFill="1" applyBorder="1" applyAlignment="1">
      <alignment horizontal="left"/>
    </xf>
    <xf numFmtId="44" fontId="9" fillId="0" borderId="35" xfId="1" applyFont="1" applyBorder="1" applyAlignment="1">
      <alignment horizontal="left"/>
    </xf>
    <xf numFmtId="1" fontId="9" fillId="0" borderId="36" xfId="0" applyNumberFormat="1" applyFont="1" applyBorder="1" applyAlignment="1">
      <alignment horizontal="left"/>
    </xf>
    <xf numFmtId="10" fontId="9" fillId="0" borderId="36" xfId="0" applyNumberFormat="1" applyFont="1" applyBorder="1" applyAlignment="1">
      <alignment horizontal="left"/>
    </xf>
    <xf numFmtId="8" fontId="9" fillId="4" borderId="36" xfId="0" applyNumberFormat="1" applyFont="1" applyFill="1" applyBorder="1" applyAlignment="1">
      <alignment horizontal="left"/>
    </xf>
    <xf numFmtId="8" fontId="9" fillId="4" borderId="37" xfId="0" applyNumberFormat="1" applyFont="1" applyFill="1" applyBorder="1" applyAlignment="1">
      <alignment horizontal="left"/>
    </xf>
    <xf numFmtId="0" fontId="0" fillId="0" borderId="38" xfId="0" applyBorder="1"/>
    <xf numFmtId="0" fontId="0" fillId="0" borderId="3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9" xfId="0" applyBorder="1"/>
    <xf numFmtId="0" fontId="0" fillId="0" borderId="2" xfId="0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40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11" xfId="0" applyBorder="1"/>
    <xf numFmtId="9" fontId="0" fillId="0" borderId="16" xfId="0" applyNumberFormat="1" applyBorder="1" applyAlignment="1">
      <alignment horizontal="center"/>
    </xf>
    <xf numFmtId="0" fontId="0" fillId="0" borderId="41" xfId="0" applyBorder="1"/>
    <xf numFmtId="0" fontId="0" fillId="0" borderId="42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44" fontId="18" fillId="4" borderId="0" xfId="1" applyFont="1" applyFill="1" applyAlignment="1">
      <alignment horizontal="center"/>
    </xf>
    <xf numFmtId="0" fontId="7" fillId="2" borderId="0" xfId="3" applyFont="1" applyAlignment="1">
      <alignment horizontal="center"/>
    </xf>
    <xf numFmtId="0" fontId="18" fillId="4" borderId="0" xfId="0" applyFont="1" applyFill="1" applyAlignment="1">
      <alignment horizontal="center"/>
    </xf>
    <xf numFmtId="0" fontId="0" fillId="4" borderId="15" xfId="0" applyFill="1" applyBorder="1" applyAlignment="1">
      <alignment horizontal="center"/>
    </xf>
    <xf numFmtId="9" fontId="0" fillId="4" borderId="0" xfId="0" applyNumberFormat="1" applyFill="1" applyBorder="1" applyAlignment="1">
      <alignment horizontal="center"/>
    </xf>
    <xf numFmtId="0" fontId="19" fillId="7" borderId="3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4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right"/>
    </xf>
    <xf numFmtId="44" fontId="3" fillId="7" borderId="19" xfId="0" applyNumberFormat="1" applyFont="1" applyFill="1" applyBorder="1" applyAlignment="1">
      <alignment horizontal="left"/>
    </xf>
    <xf numFmtId="44" fontId="0" fillId="4" borderId="18" xfId="0" applyNumberFormat="1" applyFill="1" applyBorder="1" applyAlignment="1">
      <alignment horizontal="center"/>
    </xf>
    <xf numFmtId="0" fontId="13" fillId="7" borderId="32" xfId="0" applyFont="1" applyFill="1" applyBorder="1" applyAlignment="1"/>
    <xf numFmtId="0" fontId="17" fillId="3" borderId="3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left" indent="2"/>
    </xf>
    <xf numFmtId="0" fontId="14" fillId="0" borderId="0" xfId="0" applyFont="1" applyBorder="1" applyAlignment="1">
      <alignment horizontal="left" indent="2"/>
    </xf>
    <xf numFmtId="0" fontId="10" fillId="4" borderId="22" xfId="0" applyFont="1" applyFill="1" applyBorder="1" applyAlignment="1">
      <alignment horizontal="left" indent="2"/>
    </xf>
    <xf numFmtId="0" fontId="10" fillId="4" borderId="34" xfId="0" applyFont="1" applyFill="1" applyBorder="1" applyAlignment="1">
      <alignment horizontal="left" indent="2"/>
    </xf>
    <xf numFmtId="0" fontId="10" fillId="4" borderId="20" xfId="0" applyFont="1" applyFill="1" applyBorder="1" applyAlignment="1">
      <alignment horizontal="left" indent="2"/>
    </xf>
    <xf numFmtId="0" fontId="10" fillId="4" borderId="0" xfId="0" applyFont="1" applyFill="1" applyBorder="1" applyAlignment="1">
      <alignment horizontal="left" indent="2"/>
    </xf>
    <xf numFmtId="0" fontId="14" fillId="4" borderId="22" xfId="0" applyFont="1" applyFill="1" applyBorder="1" applyAlignment="1">
      <alignment horizontal="left" indent="2"/>
    </xf>
    <xf numFmtId="0" fontId="14" fillId="4" borderId="23" xfId="0" applyFont="1" applyFill="1" applyBorder="1" applyAlignment="1">
      <alignment horizontal="left" indent="2"/>
    </xf>
    <xf numFmtId="0" fontId="14" fillId="4" borderId="20" xfId="0" applyFont="1" applyFill="1" applyBorder="1" applyAlignment="1">
      <alignment horizontal="left" indent="2"/>
    </xf>
    <xf numFmtId="0" fontId="14" fillId="4" borderId="17" xfId="0" applyFont="1" applyFill="1" applyBorder="1" applyAlignment="1">
      <alignment horizontal="left" indent="2"/>
    </xf>
    <xf numFmtId="0" fontId="15" fillId="3" borderId="25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</cellXfs>
  <cellStyles count="4">
    <cellStyle name="Ênfase2" xfId="3" builtinId="33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'2'!$C$35</c:f>
              <c:strCache>
                <c:ptCount val="1"/>
                <c:pt idx="0">
                  <c:v>PERCENTUAL SUJERIDO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CE-4333-B155-E9529CD458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CE-4333-B155-E9529CD458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CE-4333-B155-E9529CD458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CE-4333-B155-E9529CD458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CE-4333-B155-E9529CD458E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DCE-4333-B155-E9529CD458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 </c:v>
                </c:pt>
                <c:pt idx="3">
                  <c:v>FOF's</c:v>
                </c:pt>
                <c:pt idx="4">
                  <c:v>DESENVOLVIMENTO </c:v>
                </c:pt>
                <c:pt idx="5">
                  <c:v>HOTELARIAS</c:v>
                </c:pt>
              </c:strCache>
            </c:strRef>
          </c:cat>
          <c:val>
            <c:numRef>
              <c:f>'2'!$C$36:$C$41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F-435A-8FF9-8949E7B77C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586740</xdr:colOff>
      <xdr:row>0</xdr:row>
      <xdr:rowOff>68580</xdr:rowOff>
    </xdr:from>
    <xdr:to>
      <xdr:col>3</xdr:col>
      <xdr:colOff>1209675</xdr:colOff>
      <xdr:row>4</xdr:row>
      <xdr:rowOff>22860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7BF2193-B183-4AB2-9E32-139004CAF670}"/>
            </a:ext>
          </a:extLst>
        </xdr:cNvPr>
        <xdr:cNvSpPr/>
      </xdr:nvSpPr>
      <xdr:spPr>
        <a:xfrm>
          <a:off x="586740" y="68580"/>
          <a:ext cx="7623810" cy="678180"/>
        </a:xfrm>
        <a:prstGeom prst="rect">
          <a:avLst/>
        </a:prstGeom>
        <a:solidFill>
          <a:schemeClr val="bg2">
            <a:lumMod val="90000"/>
          </a:schemeClr>
        </a:solidFill>
        <a:effectLst>
          <a:outerShdw blurRad="76200" dist="139700" dir="8400000" algn="ctr" rotWithShape="0">
            <a:srgbClr val="000000">
              <a:alpha val="76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40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INVESTIMENTOS</a:t>
          </a:r>
        </a:p>
      </xdr:txBody>
    </xdr:sp>
    <xdr:clientData/>
  </xdr:twoCellAnchor>
  <xdr:twoCellAnchor editAs="oneCell">
    <xdr:from>
      <xdr:col>1</xdr:col>
      <xdr:colOff>1047750</xdr:colOff>
      <xdr:row>0</xdr:row>
      <xdr:rowOff>85724</xdr:rowOff>
    </xdr:from>
    <xdr:to>
      <xdr:col>1</xdr:col>
      <xdr:colOff>1847850</xdr:colOff>
      <xdr:row>3</xdr:row>
      <xdr:rowOff>142874</xdr:rowOff>
    </xdr:to>
    <xdr:pic>
      <xdr:nvPicPr>
        <xdr:cNvPr id="4" name="Gráfico 3" descr="Na mosca com preenchimento sólido">
          <a:extLst>
            <a:ext uri="{FF2B5EF4-FFF2-40B4-BE49-F238E27FC236}">
              <a16:creationId xmlns:a16="http://schemas.microsoft.com/office/drawing/2014/main" id="{5700687B-5947-4200-B70D-63B8C476B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57350" y="85724"/>
          <a:ext cx="800100" cy="600075"/>
        </a:xfrm>
        <a:prstGeom prst="rect">
          <a:avLst/>
        </a:prstGeom>
      </xdr:spPr>
    </xdr:pic>
    <xdr:clientData/>
  </xdr:twoCellAnchor>
  <xdr:twoCellAnchor>
    <xdr:from>
      <xdr:col>0</xdr:col>
      <xdr:colOff>604838</xdr:colOff>
      <xdr:row>42</xdr:row>
      <xdr:rowOff>114300</xdr:rowOff>
    </xdr:from>
    <xdr:to>
      <xdr:col>2</xdr:col>
      <xdr:colOff>461963</xdr:colOff>
      <xdr:row>57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00ACF03-BA0D-4A3D-B6D3-461E2366C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F7FA-7491-4B45-AEF7-C0A9AADAACC9}">
  <dimension ref="A1:I61"/>
  <sheetViews>
    <sheetView showGridLines="0" showRowColHeaders="0" tabSelected="1" topLeftCell="A17" zoomScale="89" zoomScaleNormal="89" workbookViewId="0">
      <selection activeCell="C33" sqref="C33"/>
    </sheetView>
    <sheetView tabSelected="1" topLeftCell="A10" workbookViewId="1">
      <selection activeCell="C32" sqref="C32"/>
    </sheetView>
    <sheetView showGridLines="0" showRowColHeaders="0" tabSelected="1" zoomScale="175" zoomScaleNormal="175" workbookViewId="2">
      <selection activeCell="D42" sqref="B42:D42"/>
    </sheetView>
  </sheetViews>
  <sheetFormatPr defaultColWidth="0" defaultRowHeight="14.4" zeroHeight="1" x14ac:dyDescent="0.3"/>
  <cols>
    <col min="1" max="1" width="8.88671875" customWidth="1"/>
    <col min="2" max="2" width="59.88671875" customWidth="1"/>
    <col min="3" max="3" width="33.33203125" style="11" bestFit="1" customWidth="1"/>
    <col min="4" max="4" width="18" style="11" bestFit="1" customWidth="1"/>
    <col min="5" max="5" width="5" style="8" customWidth="1"/>
    <col min="6" max="6" width="12.109375" hidden="1" customWidth="1"/>
    <col min="7" max="7" width="2.6640625" hidden="1" customWidth="1"/>
    <col min="8" max="8" width="5" hidden="1" customWidth="1"/>
    <col min="9" max="9" width="4.6640625" hidden="1" customWidth="1"/>
    <col min="10" max="12" width="8.88671875" hidden="1" customWidth="1"/>
    <col min="13" max="16384" width="8.88671875" hidden="1"/>
  </cols>
  <sheetData>
    <row r="1" spans="2:8" x14ac:dyDescent="0.3"/>
    <row r="2" spans="2:8" x14ac:dyDescent="0.3"/>
    <row r="3" spans="2:8" x14ac:dyDescent="0.3"/>
    <row r="4" spans="2:8" x14ac:dyDescent="0.3"/>
    <row r="5" spans="2:8" x14ac:dyDescent="0.3"/>
    <row r="6" spans="2:8" ht="15" thickBot="1" x14ac:dyDescent="0.35"/>
    <row r="7" spans="2:8" ht="34.799999999999997" customHeight="1" thickBot="1" x14ac:dyDescent="0.35">
      <c r="B7" s="68" t="s">
        <v>14</v>
      </c>
      <c r="C7" s="69"/>
      <c r="D7" s="70"/>
    </row>
    <row r="8" spans="2:8" ht="21" x14ac:dyDescent="0.4">
      <c r="B8" s="66" t="s">
        <v>16</v>
      </c>
      <c r="C8" s="67"/>
      <c r="D8" s="16">
        <v>1200</v>
      </c>
    </row>
    <row r="9" spans="2:8" ht="21" x14ac:dyDescent="0.4">
      <c r="B9" s="66" t="s">
        <v>15</v>
      </c>
      <c r="C9" s="67"/>
      <c r="D9" s="17">
        <v>1.0800000000000001E-2</v>
      </c>
    </row>
    <row r="10" spans="2:8" ht="21.6" thickBot="1" x14ac:dyDescent="0.45">
      <c r="B10" s="64" t="s">
        <v>17</v>
      </c>
      <c r="C10" s="65"/>
      <c r="D10" s="18">
        <f>D8*30%</f>
        <v>360</v>
      </c>
    </row>
    <row r="11" spans="2:8" ht="15" thickTop="1" x14ac:dyDescent="0.3"/>
    <row r="12" spans="2:8" ht="15" thickBot="1" x14ac:dyDescent="0.35"/>
    <row r="13" spans="2:8" ht="34.799999999999997" customHeight="1" thickBot="1" x14ac:dyDescent="0.5">
      <c r="B13" s="71" t="s">
        <v>0</v>
      </c>
      <c r="C13" s="72"/>
      <c r="D13" s="14"/>
      <c r="H13" s="6"/>
    </row>
    <row r="14" spans="2:8" ht="20.399999999999999" customHeight="1" thickBot="1" x14ac:dyDescent="0.45">
      <c r="B14" s="58" t="s">
        <v>1</v>
      </c>
      <c r="C14" s="59"/>
      <c r="D14" s="25">
        <v>1300</v>
      </c>
    </row>
    <row r="15" spans="2:8" ht="20.399999999999999" customHeight="1" thickBot="1" x14ac:dyDescent="0.45">
      <c r="B15" s="58" t="s">
        <v>2</v>
      </c>
      <c r="C15" s="59"/>
      <c r="D15" s="26">
        <v>5</v>
      </c>
    </row>
    <row r="16" spans="2:8" ht="20.399999999999999" customHeight="1" thickBot="1" x14ac:dyDescent="0.45">
      <c r="B16" s="58" t="s">
        <v>3</v>
      </c>
      <c r="C16" s="59"/>
      <c r="D16" s="27">
        <v>1.0789999999999999E-2</v>
      </c>
    </row>
    <row r="17" spans="1:5" ht="20.399999999999999" customHeight="1" thickBot="1" x14ac:dyDescent="0.45">
      <c r="B17" s="62" t="s">
        <v>5</v>
      </c>
      <c r="C17" s="63"/>
      <c r="D17" s="28">
        <f>FV(RENDIMETO_MES,ANOS*12,APORTE*-1)</f>
        <v>108909.98819803394</v>
      </c>
    </row>
    <row r="18" spans="1:5" ht="20.399999999999999" customHeight="1" thickBot="1" x14ac:dyDescent="0.45">
      <c r="B18" s="60" t="s">
        <v>6</v>
      </c>
      <c r="C18" s="61"/>
      <c r="D18" s="29">
        <f>D17*$D$9</f>
        <v>1176.2278725387666</v>
      </c>
    </row>
    <row r="19" spans="1:5" ht="15" thickTop="1" x14ac:dyDescent="0.3"/>
    <row r="20" spans="1:5" x14ac:dyDescent="0.3"/>
    <row r="21" spans="1:5" ht="15" thickBot="1" x14ac:dyDescent="0.35"/>
    <row r="22" spans="1:5" ht="39.6" thickTop="1" thickBot="1" x14ac:dyDescent="0.35">
      <c r="B22" s="56" t="s">
        <v>11</v>
      </c>
      <c r="C22" s="57"/>
      <c r="D22" s="15" t="s">
        <v>13</v>
      </c>
      <c r="E22" s="9"/>
    </row>
    <row r="23" spans="1:5" ht="22.2" thickTop="1" thickBot="1" x14ac:dyDescent="0.45">
      <c r="A23" s="5">
        <v>2</v>
      </c>
      <c r="B23" s="19" t="s">
        <v>12</v>
      </c>
      <c r="C23" s="20">
        <f>FV($D$16,DOIS_ANOS*12,$D$14*-1)</f>
        <v>35395.915486938778</v>
      </c>
      <c r="D23" s="12">
        <f>C23*RENDIMENTO_CARTEIRA</f>
        <v>382.27588725893884</v>
      </c>
      <c r="E23" s="10"/>
    </row>
    <row r="24" spans="1:5" ht="22.2" thickTop="1" thickBot="1" x14ac:dyDescent="0.45">
      <c r="A24" s="5">
        <v>5</v>
      </c>
      <c r="B24" s="21" t="s">
        <v>7</v>
      </c>
      <c r="C24" s="22">
        <f>FV($D$16,CINCO_ANOS*12,$D$14*-1)</f>
        <v>108909.98819803394</v>
      </c>
      <c r="D24" s="12">
        <f>C24*RENDIMENTO_CARTEIRA</f>
        <v>1176.2278725387666</v>
      </c>
      <c r="E24" s="10"/>
    </row>
    <row r="25" spans="1:5" ht="22.2" thickTop="1" thickBot="1" x14ac:dyDescent="0.45">
      <c r="A25" s="5">
        <v>10</v>
      </c>
      <c r="B25" s="21" t="s">
        <v>9</v>
      </c>
      <c r="C25" s="22">
        <f>FV($D$16,dez*12,$D$14*-1)</f>
        <v>316269.47628922388</v>
      </c>
      <c r="D25" s="12">
        <f>C25*RENDIMENTO_CARTEIRA</f>
        <v>3415.710343923618</v>
      </c>
      <c r="E25" s="10"/>
    </row>
    <row r="26" spans="1:5" ht="22.2" thickTop="1" thickBot="1" x14ac:dyDescent="0.45">
      <c r="A26" s="5">
        <v>20</v>
      </c>
      <c r="B26" s="21" t="s">
        <v>8</v>
      </c>
      <c r="C26" s="22">
        <f>FV($D$16,VINTE_ANOS*12,$D$14*-1)</f>
        <v>1462757.9201262048</v>
      </c>
      <c r="D26" s="12">
        <f>C26*RENDIMENTO_CARTEIRA</f>
        <v>15797.785537363014</v>
      </c>
      <c r="E26" s="10"/>
    </row>
    <row r="27" spans="1:5" ht="22.2" thickTop="1" thickBot="1" x14ac:dyDescent="0.45">
      <c r="A27" s="5">
        <v>30</v>
      </c>
      <c r="B27" s="23" t="s">
        <v>10</v>
      </c>
      <c r="C27" s="24">
        <f>FV($D$16,TRINTA_ANOS*12,$D$14*-1)</f>
        <v>5618820.5515061291</v>
      </c>
      <c r="D27" s="13">
        <f>C27*RENDIMENTO_CARTEIRA</f>
        <v>60683.2619562662</v>
      </c>
      <c r="E27" s="10"/>
    </row>
    <row r="28" spans="1:5" ht="15" thickTop="1" x14ac:dyDescent="0.3"/>
    <row r="29" spans="1:5" x14ac:dyDescent="0.3"/>
    <row r="30" spans="1:5" x14ac:dyDescent="0.3"/>
    <row r="31" spans="1:5" x14ac:dyDescent="0.3"/>
    <row r="32" spans="1:5" ht="23.4" x14ac:dyDescent="0.45">
      <c r="B32" s="45" t="s">
        <v>18</v>
      </c>
      <c r="C32" s="45" t="s">
        <v>20</v>
      </c>
      <c r="D32" s="45"/>
    </row>
    <row r="33" spans="2:4" ht="23.4" x14ac:dyDescent="0.45">
      <c r="B33" s="46" t="s">
        <v>21</v>
      </c>
      <c r="C33" s="44">
        <f>APORTE</f>
        <v>1300</v>
      </c>
      <c r="D33" s="46"/>
    </row>
    <row r="34" spans="2:4" ht="15" thickBot="1" x14ac:dyDescent="0.35"/>
    <row r="35" spans="2:4" ht="18.600000000000001" thickTop="1" x14ac:dyDescent="0.35">
      <c r="B35" s="49" t="s">
        <v>22</v>
      </c>
      <c r="C35" s="50" t="s">
        <v>23</v>
      </c>
      <c r="D35" s="51" t="s">
        <v>24</v>
      </c>
    </row>
    <row r="36" spans="2:4" x14ac:dyDescent="0.3">
      <c r="B36" s="47" t="s">
        <v>25</v>
      </c>
      <c r="C36" s="48">
        <f>VLOOKUP($C$32&amp;"-"&amp;B36,Planilha3!$A:$D,4,FALSE)</f>
        <v>0.5</v>
      </c>
      <c r="D36" s="54">
        <f t="shared" ref="D36:D41" si="0">C36*valor_a_Ser_investido_no_mes</f>
        <v>650</v>
      </c>
    </row>
    <row r="37" spans="2:4" x14ac:dyDescent="0.3">
      <c r="B37" s="47" t="s">
        <v>26</v>
      </c>
      <c r="C37" s="48">
        <f>VLOOKUP($C$32&amp;"-"&amp;B37,Planilha3!$A:$D,4,FALSE)</f>
        <v>0.1</v>
      </c>
      <c r="D37" s="54">
        <f t="shared" si="0"/>
        <v>130</v>
      </c>
    </row>
    <row r="38" spans="2:4" x14ac:dyDescent="0.3">
      <c r="B38" s="47" t="s">
        <v>27</v>
      </c>
      <c r="C38" s="48">
        <f>VLOOKUP($C$32&amp;"-"&amp;B38,Planilha3!$A:$D,4,FALSE)</f>
        <v>0.05</v>
      </c>
      <c r="D38" s="54">
        <f t="shared" si="0"/>
        <v>65</v>
      </c>
    </row>
    <row r="39" spans="2:4" x14ac:dyDescent="0.3">
      <c r="B39" s="47" t="s">
        <v>28</v>
      </c>
      <c r="C39" s="48">
        <f>VLOOKUP($C$32&amp;"-"&amp;B39,Planilha3!$A:$D,4,FALSE)</f>
        <v>0.05</v>
      </c>
      <c r="D39" s="54">
        <f t="shared" si="0"/>
        <v>65</v>
      </c>
    </row>
    <row r="40" spans="2:4" x14ac:dyDescent="0.3">
      <c r="B40" s="47" t="s">
        <v>29</v>
      </c>
      <c r="C40" s="48">
        <f>VLOOKUP($C$32&amp;"-"&amp;B40,Planilha3!$A:$D,4,FALSE)</f>
        <v>0.2</v>
      </c>
      <c r="D40" s="54">
        <f t="shared" si="0"/>
        <v>260</v>
      </c>
    </row>
    <row r="41" spans="2:4" x14ac:dyDescent="0.3">
      <c r="B41" s="47" t="s">
        <v>30</v>
      </c>
      <c r="C41" s="48">
        <f>VLOOKUP($C$32&amp;"-"&amp;B41,Planilha3!$A:$D,4,FALSE)</f>
        <v>0.1</v>
      </c>
      <c r="D41" s="54">
        <f t="shared" si="0"/>
        <v>130</v>
      </c>
    </row>
    <row r="42" spans="2:4" ht="18.600000000000001" thickBot="1" x14ac:dyDescent="0.4">
      <c r="B42" s="55"/>
      <c r="C42" s="52" t="s">
        <v>34</v>
      </c>
      <c r="D42" s="53">
        <f>SUM(D36:D41)</f>
        <v>1300</v>
      </c>
    </row>
    <row r="43" spans="2:4" ht="15" thickTop="1" x14ac:dyDescent="0.3"/>
    <row r="44" spans="2:4" x14ac:dyDescent="0.3"/>
    <row r="45" spans="2:4" x14ac:dyDescent="0.3"/>
    <row r="46" spans="2:4" x14ac:dyDescent="0.3"/>
    <row r="47" spans="2:4" x14ac:dyDescent="0.3"/>
    <row r="48" spans="2:4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</sheetData>
  <mergeCells count="11">
    <mergeCell ref="B10:C10"/>
    <mergeCell ref="B9:C9"/>
    <mergeCell ref="B8:C8"/>
    <mergeCell ref="B7:D7"/>
    <mergeCell ref="B13:C13"/>
    <mergeCell ref="B22:C22"/>
    <mergeCell ref="B14:C14"/>
    <mergeCell ref="B15:C15"/>
    <mergeCell ref="B18:C18"/>
    <mergeCell ref="B17:C17"/>
    <mergeCell ref="B16:C16"/>
  </mergeCells>
  <dataValidations count="1">
    <dataValidation type="list" errorStyle="warning" allowBlank="1" showInputMessage="1" showErrorMessage="1" errorTitle="COLQUE O PERFIL SELECIONADO" error="SOMENTE ESTES PERFIS" promptTitle="ESCOLHA O SEU PERFIL " prompt="MODERADO_x000a_AGRESSIVO_x000a_CONSERVADOR" sqref="C32" xr:uid="{36D25914-80AF-4B96-829C-D098BF122C9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D2A1-069B-479C-AB0E-E487AE089000}">
  <dimension ref="A2:H21"/>
  <sheetViews>
    <sheetView workbookViewId="0">
      <selection activeCell="A9" sqref="A9"/>
    </sheetView>
    <sheetView workbookViewId="1"/>
    <sheetView workbookViewId="2"/>
  </sheetViews>
  <sheetFormatPr defaultRowHeight="14.4" x14ac:dyDescent="0.3"/>
  <cols>
    <col min="1" max="1" width="32.109375" bestFit="1" customWidth="1"/>
    <col min="2" max="2" width="13.77734375" bestFit="1" customWidth="1"/>
    <col min="3" max="3" width="18.44140625" bestFit="1" customWidth="1"/>
    <col min="6" max="6" width="18.109375" bestFit="1" customWidth="1"/>
    <col min="7" max="7" width="19.5546875" bestFit="1" customWidth="1"/>
  </cols>
  <sheetData>
    <row r="2" spans="1:8" ht="15" thickBot="1" x14ac:dyDescent="0.35"/>
    <row r="3" spans="1:8" x14ac:dyDescent="0.3">
      <c r="A3" s="35" t="s">
        <v>31</v>
      </c>
      <c r="B3" s="36" t="s">
        <v>18</v>
      </c>
      <c r="C3" s="36" t="s">
        <v>22</v>
      </c>
      <c r="D3" s="37" t="s">
        <v>4</v>
      </c>
    </row>
    <row r="4" spans="1:8" x14ac:dyDescent="0.3">
      <c r="A4" s="3" t="str">
        <f>B4&amp;"-"&amp;C4</f>
        <v>CONSERVADOR-PAPEL</v>
      </c>
      <c r="B4" s="1" t="s">
        <v>19</v>
      </c>
      <c r="C4" s="32" t="s">
        <v>25</v>
      </c>
      <c r="D4" s="38">
        <v>0.3</v>
      </c>
      <c r="G4" s="7" t="s">
        <v>33</v>
      </c>
      <c r="H4" s="7">
        <f>VLOOKUP(G4,$A:$D,4,FALSE)</f>
        <v>0.3</v>
      </c>
    </row>
    <row r="5" spans="1:8" x14ac:dyDescent="0.3">
      <c r="A5" s="3" t="str">
        <f t="shared" ref="A5:A21" si="0">B5&amp;"-"&amp;C5</f>
        <v>CONSERVADOR-TIJOLO</v>
      </c>
      <c r="B5" s="1" t="s">
        <v>19</v>
      </c>
      <c r="C5" s="32" t="s">
        <v>26</v>
      </c>
      <c r="D5" s="38">
        <v>0.5</v>
      </c>
    </row>
    <row r="6" spans="1:8" x14ac:dyDescent="0.3">
      <c r="A6" s="3" t="str">
        <f t="shared" si="0"/>
        <v xml:space="preserve">CONSERVADOR-HIBRIDO </v>
      </c>
      <c r="B6" s="1" t="s">
        <v>19</v>
      </c>
      <c r="C6" s="32" t="s">
        <v>27</v>
      </c>
      <c r="D6" s="38">
        <v>0.1</v>
      </c>
    </row>
    <row r="7" spans="1:8" x14ac:dyDescent="0.3">
      <c r="A7" s="3" t="str">
        <f t="shared" si="0"/>
        <v>CONSERVADOR-FOF's</v>
      </c>
      <c r="B7" s="1" t="s">
        <v>19</v>
      </c>
      <c r="C7" s="32" t="s">
        <v>28</v>
      </c>
      <c r="D7" s="38">
        <v>0.1</v>
      </c>
    </row>
    <row r="8" spans="1:8" x14ac:dyDescent="0.3">
      <c r="A8" s="39" t="str">
        <f t="shared" si="0"/>
        <v xml:space="preserve">CONSERVADOR-DESENVOLVIMENTO </v>
      </c>
      <c r="B8" s="2" t="s">
        <v>19</v>
      </c>
      <c r="C8" s="34" t="s">
        <v>29</v>
      </c>
      <c r="D8" s="40">
        <v>0</v>
      </c>
    </row>
    <row r="9" spans="1:8" x14ac:dyDescent="0.3">
      <c r="A9" s="3" t="str">
        <f t="shared" si="0"/>
        <v>CONSERVADOR-HOTELARIAS</v>
      </c>
      <c r="B9" s="1" t="s">
        <v>19</v>
      </c>
      <c r="C9" s="32" t="s">
        <v>30</v>
      </c>
      <c r="D9" s="38">
        <v>0</v>
      </c>
    </row>
    <row r="10" spans="1:8" s="30" customFormat="1" x14ac:dyDescent="0.3">
      <c r="A10" s="3" t="str">
        <f t="shared" si="0"/>
        <v>AGRESSIVO-PAPEL</v>
      </c>
      <c r="B10" s="30" t="s">
        <v>20</v>
      </c>
      <c r="C10" s="31" t="s">
        <v>25</v>
      </c>
      <c r="D10" s="38">
        <v>0.5</v>
      </c>
    </row>
    <row r="11" spans="1:8" x14ac:dyDescent="0.3">
      <c r="A11" s="3" t="str">
        <f t="shared" si="0"/>
        <v>AGRESSIVO-TIJOLO</v>
      </c>
      <c r="B11" s="30" t="s">
        <v>20</v>
      </c>
      <c r="C11" s="32" t="s">
        <v>26</v>
      </c>
      <c r="D11" s="38">
        <v>0.1</v>
      </c>
    </row>
    <row r="12" spans="1:8" x14ac:dyDescent="0.3">
      <c r="A12" s="3" t="str">
        <f t="shared" si="0"/>
        <v xml:space="preserve">AGRESSIVO-HIBRIDO </v>
      </c>
      <c r="B12" s="30" t="s">
        <v>20</v>
      </c>
      <c r="C12" s="32" t="s">
        <v>27</v>
      </c>
      <c r="D12" s="38">
        <v>0.05</v>
      </c>
    </row>
    <row r="13" spans="1:8" x14ac:dyDescent="0.3">
      <c r="A13" s="3" t="str">
        <f t="shared" si="0"/>
        <v>AGRESSIVO-FOF's</v>
      </c>
      <c r="B13" s="30" t="s">
        <v>20</v>
      </c>
      <c r="C13" s="32" t="s">
        <v>28</v>
      </c>
      <c r="D13" s="38">
        <v>0.05</v>
      </c>
    </row>
    <row r="14" spans="1:8" x14ac:dyDescent="0.3">
      <c r="A14" s="3" t="str">
        <f t="shared" si="0"/>
        <v xml:space="preserve">AGRESSIVO-DESENVOLVIMENTO </v>
      </c>
      <c r="B14" s="30" t="s">
        <v>20</v>
      </c>
      <c r="C14" s="32" t="s">
        <v>29</v>
      </c>
      <c r="D14" s="38">
        <v>0.2</v>
      </c>
    </row>
    <row r="15" spans="1:8" x14ac:dyDescent="0.3">
      <c r="A15" s="39" t="str">
        <f t="shared" si="0"/>
        <v>AGRESSIVO-HOTELARIAS</v>
      </c>
      <c r="B15" s="33" t="s">
        <v>20</v>
      </c>
      <c r="C15" s="34" t="s">
        <v>30</v>
      </c>
      <c r="D15" s="40">
        <v>0.1</v>
      </c>
    </row>
    <row r="16" spans="1:8" x14ac:dyDescent="0.3">
      <c r="A16" s="3" t="str">
        <f t="shared" si="0"/>
        <v>MODERADO-PAPEL</v>
      </c>
      <c r="B16" s="1" t="s">
        <v>32</v>
      </c>
      <c r="C16" s="32" t="s">
        <v>25</v>
      </c>
      <c r="D16" s="38">
        <v>0.1</v>
      </c>
    </row>
    <row r="17" spans="1:4" x14ac:dyDescent="0.3">
      <c r="A17" s="3" t="str">
        <f t="shared" si="0"/>
        <v>MODERADO-TIJOLO</v>
      </c>
      <c r="B17" s="30" t="s">
        <v>32</v>
      </c>
      <c r="C17" s="32" t="s">
        <v>26</v>
      </c>
      <c r="D17" s="38">
        <v>0.2</v>
      </c>
    </row>
    <row r="18" spans="1:4" x14ac:dyDescent="0.3">
      <c r="A18" s="3" t="str">
        <f t="shared" si="0"/>
        <v xml:space="preserve">MODERADO-HIBRIDO </v>
      </c>
      <c r="B18" s="30" t="s">
        <v>32</v>
      </c>
      <c r="C18" s="32" t="s">
        <v>27</v>
      </c>
      <c r="D18" s="38">
        <v>0.15</v>
      </c>
    </row>
    <row r="19" spans="1:4" x14ac:dyDescent="0.3">
      <c r="A19" s="3" t="str">
        <f t="shared" si="0"/>
        <v>MODERADO-FOF's</v>
      </c>
      <c r="B19" s="30" t="s">
        <v>32</v>
      </c>
      <c r="C19" s="32" t="s">
        <v>28</v>
      </c>
      <c r="D19" s="38">
        <v>0.4</v>
      </c>
    </row>
    <row r="20" spans="1:4" x14ac:dyDescent="0.3">
      <c r="A20" s="3" t="str">
        <f t="shared" si="0"/>
        <v xml:space="preserve">MODERADO-DESENVOLVIMENTO </v>
      </c>
      <c r="B20" s="30" t="s">
        <v>32</v>
      </c>
      <c r="C20" s="32" t="s">
        <v>29</v>
      </c>
      <c r="D20" s="38">
        <v>0.1</v>
      </c>
    </row>
    <row r="21" spans="1:4" ht="15" thickBot="1" x14ac:dyDescent="0.35">
      <c r="A21" s="4" t="str">
        <f t="shared" si="0"/>
        <v>MODERADO-HOTELARIAS</v>
      </c>
      <c r="B21" s="41" t="s">
        <v>32</v>
      </c>
      <c r="C21" s="42" t="s">
        <v>30</v>
      </c>
      <c r="D21" s="43">
        <v>0.05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14</vt:i4>
      </vt:variant>
    </vt:vector>
  </HeadingPairs>
  <TitlesOfParts>
    <vt:vector size="16" baseType="lpstr">
      <vt:lpstr>2</vt:lpstr>
      <vt:lpstr>Planilha3</vt:lpstr>
      <vt:lpstr>ANOS</vt:lpstr>
      <vt:lpstr>APORTE</vt:lpstr>
      <vt:lpstr>CINCO_ANOS</vt:lpstr>
      <vt:lpstr>dez</vt:lpstr>
      <vt:lpstr>DEZ_ANOS</vt:lpstr>
      <vt:lpstr>DIVIDENDOS</vt:lpstr>
      <vt:lpstr>DOIS_ANOS</vt:lpstr>
      <vt:lpstr>PATRIMONIO</vt:lpstr>
      <vt:lpstr>RENDIMENTO_CARTEIRA</vt:lpstr>
      <vt:lpstr>RENDIMETO_MES</vt:lpstr>
      <vt:lpstr>SUJESTÃO_RENDIMENTO</vt:lpstr>
      <vt:lpstr>TRINTA_ANOS</vt:lpstr>
      <vt:lpstr>valor_a_Ser_investido_no_mes</vt:lpstr>
      <vt:lpstr>VINTE_ANOS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Costa</dc:creator>
  <cp:lastModifiedBy>Elaine Costa</cp:lastModifiedBy>
  <dcterms:created xsi:type="dcterms:W3CDTF">2025-05-17T23:22:06Z</dcterms:created>
  <dcterms:modified xsi:type="dcterms:W3CDTF">2025-05-18T02:53:31Z</dcterms:modified>
</cp:coreProperties>
</file>